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<sst xmlns="http://schemas.openxmlformats.org/spreadsheetml/2006/main" count="47" uniqueCount="26">
  <si>
    <t xml:space="preserve">Meta </t>
  </si>
  <si>
    <t>estimada</t>
  </si>
  <si>
    <t>Total cobrado:</t>
  </si>
  <si>
    <t>pg</t>
  </si>
  <si>
    <t>Total pago</t>
  </si>
  <si>
    <t>Total Quebra</t>
  </si>
  <si>
    <t>No Prazo</t>
  </si>
  <si>
    <t>tipo</t>
  </si>
  <si>
    <t>Falta receber</t>
  </si>
  <si>
    <t>falta cobrar</t>
  </si>
  <si>
    <t>OPERADOR</t>
  </si>
  <si>
    <t>CPF</t>
  </si>
  <si>
    <t xml:space="preserve">CLIENTE </t>
  </si>
  <si>
    <t>VALOR</t>
  </si>
  <si>
    <t>realizado</t>
  </si>
  <si>
    <t>vencimento</t>
  </si>
  <si>
    <t>condiçao</t>
  </si>
  <si>
    <t>status</t>
  </si>
  <si>
    <t>data pagamento</t>
  </si>
  <si>
    <t>tipo pgmnt</t>
  </si>
  <si>
    <t>tel</t>
  </si>
  <si>
    <t>jose</t>
  </si>
  <si>
    <t>douglas</t>
  </si>
  <si>
    <t>no prazo</t>
  </si>
  <si>
    <t>41 9698-9973</t>
  </si>
  <si>
    <t>v8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</si>
</sst>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 &quot;#,##0.00"/>
    <numFmt numFmtId="165" formatCode="[$R$ -416]#,##0.00"/>
    <numFmt numFmtId="166" formatCode="dd/MM/yyyy"/>
    <numFmt numFmtId="167" formatCode="dd/mm"/>
  </numFmts>
  <fonts count="9">
    <font>
      <sz val="10.0"/>
      <color rgb="FF000000"/>
      <name val="Arial"/>
      <scheme val="minor"/>
    </font>
    <font>
      <b/>
      <sz val="14.0"/>
      <color rgb="FFFFFFFF"/>
      <name val="Comfortaa"/>
    </font>
    <font>
      <b/>
      <sz val="14.0"/>
      <color theme="1"/>
      <name val="Cambria"/>
    </font>
    <font>
      <sz val="14.0"/>
      <color theme="1"/>
      <name val="Cambria"/>
    </font>
    <font>
      <sz val="11.0"/>
      <color theme="1"/>
      <name val="Calibri"/>
    </font>
    <font>
      <b/>
      <sz val="14.0"/>
      <color theme="1"/>
      <name val="Calibri"/>
    </font>
    <font>
      <color theme="1"/>
      <name val="Arial"/>
    </font>
    <font>
      <b/>
      <sz val="14.0"/>
      <color rgb="FFFFFFFF"/>
      <name val="Calibri"/>
    </font>
    <font>
      <b/>
      <sz val="14.0"/>
      <color rgb="FFFFFFFF"/>
      <name val="Overlock"/>
    </font>
  </fonts>
  <fills count="4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164" xfId="0" applyAlignment="1" applyBorder="1" applyFill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1" fillId="3" fontId="3" numFmtId="165" xfId="0" applyAlignment="1" applyBorder="1" applyFill="1" applyFont="1" applyNumberFormat="1">
      <alignment horizontal="center"/>
    </xf>
    <xf borderId="0" fillId="0" fontId="4" numFmtId="0" xfId="0" applyAlignment="1" applyFont="1">
      <alignment vertical="bottom"/>
    </xf>
    <xf borderId="0" fillId="2" fontId="1" numFmtId="166" xfId="0" applyAlignment="1" applyFill="1" applyFont="1" applyNumberFormat="1">
      <alignment horizontal="center" shrinkToFit="0" wrapText="1"/>
    </xf>
    <xf borderId="0" fillId="0" fontId="4" numFmtId="165" xfId="0" applyAlignment="1" applyFont="1" applyNumberFormat="1">
      <alignment horizontal="center" vertical="bottom"/>
    </xf>
    <xf borderId="0" fillId="3" fontId="5" numFmtId="165" xfId="0" applyAlignment="1" applyFill="1" applyFont="1" applyNumberFormat="1">
      <alignment horizontal="center" vertical="bottom"/>
    </xf>
    <xf borderId="0" fillId="0" fontId="6" numFmtId="0" xfId="0" applyFont="1"/>
    <xf borderId="0" fillId="3" fontId="5" numFmtId="164" xfId="0" applyAlignment="1" applyFill="1" applyFont="1" applyNumberFormat="1">
      <alignment horizontal="center" vertical="bottom"/>
    </xf>
    <xf borderId="0" fillId="0" fontId="4" numFmtId="0" xfId="0" applyFont="1"/>
    <xf borderId="1" fillId="2" fontId="7" numFmtId="0" xfId="0" applyAlignment="1" applyBorder="1" applyFill="1" applyFont="1">
      <alignment horizontal="center" shrinkToFit="0" wrapText="1"/>
    </xf>
    <xf borderId="1" fillId="2" fontId="8" numFmtId="0" xfId="0" applyAlignment="1" applyBorder="1" applyFill="1" applyFont="1">
      <alignment horizontal="center"/>
    </xf>
    <xf borderId="1" fillId="2" fontId="8" numFmtId="164" xfId="0" applyAlignment="1" applyBorder="1" applyFill="1" applyFont="1" applyNumberFormat="1">
      <alignment horizontal="center"/>
    </xf>
    <xf borderId="1" fillId="2" fontId="4" numFmtId="164" xfId="0" applyBorder="1" applyFill="1" applyFont="1" applyNumberFormat="1"/>
    <xf borderId="0" fillId="0" fontId="6" numFmtId="0" xfId="0" applyAlignment="1" applyFont="1">
      <alignment readingOrder="0"/>
    </xf>
    <xf borderId="0" fillId="0" fontId="6" numFmtId="167" xfId="0" applyFont="1" applyNumberFormat="1"/>
    <xf borderId="0" fillId="0" fontId="6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1" width="25.75"/>
  </cols>
  <sheetData>
    <row r="1" ht="18.75" customHeight="1">
      <c r="A1" s="1" t="s">
        <v>0</v>
      </c>
      <c r="B1" s="2">
        <v>440000.0</v>
      </c>
      <c r="C1" s="3" t="s">
        <v>1</v>
      </c>
      <c r="D1" s="4">
        <f>B2*0.015</f>
        <v>0.09</v>
      </c>
      <c r="E1" s="5"/>
      <c r="F1" s="5"/>
      <c r="G1" s="5"/>
      <c r="H1" s="5"/>
      <c r="I1" s="5"/>
    </row>
    <row r="2" ht="18.75" customHeight="1">
      <c r="A2" s="6" t="s">
        <v>2</v>
      </c>
      <c r="B2" s="2">
        <f>SUM(D8:D1047776)</f>
        <v>6</v>
      </c>
      <c r="C2" s="3" t="s">
        <v>3</v>
      </c>
      <c r="D2" s="4">
        <f>C4-C3</f>
        <v>1496.29</v>
      </c>
      <c r="E2" s="5"/>
      <c r="F2" s="5"/>
      <c r="G2" s="5"/>
      <c r="H2" s="5"/>
      <c r="I2" s="5"/>
    </row>
    <row r="3" ht="18.75" customHeight="1">
      <c r="A3" s="1" t="s">
        <v>4</v>
      </c>
      <c r="B3" s="2">
        <f> SUMIF(G:G, "sim", D:D)</f>
        <v>0</v>
      </c>
      <c r="C3" s="7">
        <f>IF(C4&lt;=1412,C4*0.075,
IF(C4&lt;=2666.68,(1412*0.075)+(C4-1412)*0.09,
IF(C4&lt;=4000.03,(1412*0.075)+(1254.68*0.09)+(C4-2666.68)*0.12,
IF(C4&lt;=7786.02,(1412*0.075)+(1254.68*0.09)+(1333.35*0.12)+(C4-4000.03)*0.14,
908.85))))</f>
        <v>124.71</v>
      </c>
      <c r="D3" s="5"/>
      <c r="E3" s="5"/>
      <c r="F3" s="5"/>
      <c r="G3" s="5"/>
      <c r="H3" s="5"/>
      <c r="I3" s="5"/>
    </row>
    <row r="4" ht="18.75" customHeight="1">
      <c r="A4" s="1" t="s">
        <v>5</v>
      </c>
      <c r="B4" s="2">
        <f> SUMIF(G:G, "nao", D:D)</f>
        <v>0</v>
      </c>
      <c r="C4" s="7">
        <f>1621+B3*0.015</f>
        <v>1621</v>
      </c>
      <c r="D4" s="5"/>
      <c r="E4" s="5"/>
      <c r="F4" s="5"/>
      <c r="G4" s="5"/>
      <c r="H4" s="5"/>
      <c r="I4" s="5"/>
    </row>
    <row r="5" ht="18.75" customHeight="1">
      <c r="A5" s="1" t="s">
        <v>6</v>
      </c>
      <c r="B5" s="8">
        <f> SUMIF(G:G, "no prazo", D:D)</f>
        <v>6</v>
      </c>
      <c r="C5" s="5"/>
      <c r="D5" s="5"/>
      <c r="E5" s="5"/>
      <c r="F5" s="5"/>
      <c r="G5" s="5"/>
      <c r="H5" s="5"/>
      <c r="I5" s="5"/>
      <c r="J5" s="9" t="s">
        <v>7</v>
      </c>
    </row>
    <row r="6" ht="18.75" customHeight="1">
      <c r="A6" s="1" t="s">
        <v>8</v>
      </c>
      <c r="B6" s="10">
        <f>B1-B3</f>
        <v>440000</v>
      </c>
      <c r="C6" s="5"/>
      <c r="D6" s="5"/>
      <c r="E6" s="5"/>
      <c r="F6" s="5"/>
      <c r="G6" s="5"/>
      <c r="H6" s="5"/>
      <c r="I6" s="5"/>
    </row>
    <row r="7" ht="18.75" customHeight="1">
      <c r="A7" s="1" t="s">
        <v>9</v>
      </c>
      <c r="B7" s="10">
        <f>B1-B2</f>
        <v>439994</v>
      </c>
      <c r="C7" s="5"/>
      <c r="D7" s="5"/>
      <c r="E7" s="5"/>
      <c r="F7" s="5"/>
      <c r="G7" s="5"/>
      <c r="H7" s="5"/>
      <c r="I7" s="11"/>
    </row>
    <row r="8" ht="18.75" customHeight="1">
      <c r="A8" s="12" t="s">
        <v>10</v>
      </c>
      <c r="B8" s="13" t="s">
        <v>11</v>
      </c>
      <c r="C8" s="13" t="s">
        <v>12</v>
      </c>
      <c r="D8" s="14" t="s">
        <v>13</v>
      </c>
      <c r="E8" s="15" t="s">
        <v>14</v>
      </c>
      <c r="F8" s="15" t="s">
        <v>15</v>
      </c>
      <c r="G8" s="14" t="s">
        <v>16</v>
      </c>
      <c r="H8" s="13" t="s">
        <v>17</v>
      </c>
      <c r="I8" s="13" t="s">
        <v>18</v>
      </c>
      <c r="J8" s="9" t="s">
        <v>19</v>
      </c>
      <c r="K8" s="9" t="s">
        <v>20</v>
      </c>
    </row>
    <row r="9" ht="18.75" customHeight="1">
      <c r="A9" s="9" t="s">
        <v>21</v>
      </c>
      <c r="B9" s="9">
        <v>1.426577192E10</v>
      </c>
      <c r="C9" s="16" t="s">
        <v>22</v>
      </c>
      <c r="D9" s="9">
        <v>1.0</v>
      </c>
      <c r="E9" s="17">
        <v>46293.0</v>
      </c>
      <c r="F9" s="17">
        <v>46295.0</v>
      </c>
      <c r="G9" s="9" t="s">
        <v>23</v>
      </c>
      <c r="H9" s="9" t="s">
        <v>23</v>
      </c>
      <c r="K9" s="16">
        <v>4.7992902661E10</v>
      </c>
    </row>
    <row r="10" ht="18.75" customHeight="1">
      <c r="A10" s="9" t="s">
        <v>21</v>
      </c>
      <c r="B10" s="9">
        <v>1.426577192E10</v>
      </c>
      <c r="C10" s="9" t="s">
        <v>21</v>
      </c>
      <c r="D10" s="9">
        <v>1.0</v>
      </c>
      <c r="E10" s="17">
        <v>46293.0</v>
      </c>
      <c r="F10" s="17">
        <v>46295.0</v>
      </c>
      <c r="G10" s="9" t="s">
        <v>23</v>
      </c>
      <c r="H10" s="9" t="s">
        <v>23</v>
      </c>
      <c r="K10" s="16" t="s">
        <v>24</v>
      </c>
    </row>
    <row r="11" ht="18.75" customHeight="1">
      <c r="A11" s="9" t="s">
        <v>21</v>
      </c>
      <c r="B11" s="9">
        <v>1.426577192E10</v>
      </c>
      <c r="C11" s="16" t="s">
        <v>25</v>
      </c>
      <c r="D11" s="9">
        <v>1.0</v>
      </c>
      <c r="E11" s="17">
        <v>46293.0</v>
      </c>
      <c r="F11" s="17">
        <v>46295.0</v>
      </c>
      <c r="G11" s="9" t="s">
        <v>23</v>
      </c>
      <c r="H11" s="9" t="s">
        <v>23</v>
      </c>
      <c r="K11" s="16">
        <v>4.1997457323E10</v>
      </c>
    </row>
    <row r="12" ht="18.75" customHeight="1">
      <c r="A12" s="9" t="s">
        <v>21</v>
      </c>
      <c r="B12" s="9">
        <v>1.426577192E10</v>
      </c>
      <c r="C12" s="16" t="s">
        <v>22</v>
      </c>
      <c r="D12" s="9">
        <v>1.0</v>
      </c>
      <c r="E12" s="17">
        <v>46293.0</v>
      </c>
      <c r="F12" s="18">
        <v>46324.0</v>
      </c>
      <c r="G12" s="9" t="s">
        <v>23</v>
      </c>
      <c r="H12" s="9" t="s">
        <v>23</v>
      </c>
      <c r="K12" s="16">
        <v>4.7992902661E10</v>
      </c>
    </row>
    <row r="13" ht="18.75" customHeight="1">
      <c r="A13" s="9" t="s">
        <v>21</v>
      </c>
      <c r="B13" s="9">
        <v>1.426577192E10</v>
      </c>
      <c r="C13" s="9" t="s">
        <v>21</v>
      </c>
      <c r="D13" s="9">
        <v>1.0</v>
      </c>
      <c r="E13" s="17">
        <v>46293.0</v>
      </c>
      <c r="F13" s="18">
        <v>46294.0</v>
      </c>
      <c r="G13" s="9" t="s">
        <v>23</v>
      </c>
      <c r="H13" s="9" t="s">
        <v>23</v>
      </c>
      <c r="K13" s="16" t="s">
        <v>24</v>
      </c>
    </row>
    <row r="14" ht="18.75" customHeight="1">
      <c r="A14" s="9" t="s">
        <v>21</v>
      </c>
      <c r="B14" s="9">
        <v>1.426577192E10</v>
      </c>
      <c r="C14" s="16" t="s">
        <v>25</v>
      </c>
      <c r="D14" s="9">
        <v>1.0</v>
      </c>
      <c r="E14" s="17">
        <v>46293.0</v>
      </c>
      <c r="F14" s="18">
        <v>46294.0</v>
      </c>
      <c r="G14" s="9" t="s">
        <v>23</v>
      </c>
      <c r="H14" s="9" t="s">
        <v>23</v>
      </c>
      <c r="K14" s="16">
        <v>4.1997457323E10</v>
      </c>
    </row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